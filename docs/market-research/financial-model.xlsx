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5-Year Projection" sheetId="2" state="visible" r:id="rId2"/>
    <sheet xmlns:r="http://schemas.openxmlformats.org/officeDocument/2006/relationships" name="Pricing Model" sheetId="3" state="visible" r:id="rId3"/>
    <sheet xmlns:r="http://schemas.openxmlformats.org/officeDocument/2006/relationships" name="Segment Sensitivity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Checks" sheetId="6" state="visible" r:id="rId6"/>
  </sheets>
  <definedNames>
    <definedName name="Market_CAGR">Inputs!$B$8</definedName>
    <definedName name="Discount_Rate">Inputs!$B$42</definedName>
    <definedName name="Revenue_Y5">'5-Year Projection'!F$15</definedName>
    <definedName name="EBITDA_Y5">'5-Year Projection'!F$28</definedName>
    <definedName name="Net_Income_Y5">'5-Year Projection'!F$36</definedName>
    <definedName name="Team_ARPU">Inputs!$B$31</definedName>
    <definedName name="Enterprise_ACV">Inputs!$B$30</definedName>
    <definedName name="Gross_Margin">Inputs!$B$37</definedName>
    <definedName name="Team_LTV">'Unit Economics'!B$10</definedName>
    <definedName name="Enterprise_LTV">'Unit Economics'!B$23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0.0x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000000"/>
    </font>
    <font>
      <color rgb="00000000"/>
    </font>
    <font>
      <color rgb="00006100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4" fillId="0" borderId="0" pivotButton="0" quotePrefix="0" xfId="0"/>
    <xf numFmtId="9" fontId="2" fillId="0" borderId="0" pivotButton="0" quotePrefix="0" xfId="0"/>
    <xf numFmtId="0" fontId="6" fillId="4" borderId="0" pivotButton="0" quotePrefix="0" xfId="0"/>
    <xf numFmtId="164" fontId="5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model</author>
  </authors>
  <commentList>
    <comment ref="B6" authorId="0" shapeId="0">
      <text>
        <t>Source: Business Research Company, 2025</t>
      </text>
    </comment>
    <comment ref="B7" authorId="0" shapeId="0">
      <text>
        <t>Source: Mordor Intelligence, 2025</t>
      </text>
    </comment>
    <comment ref="B8" authorId="0" shapeId="0">
      <text>
        <t>Source: SNS Insider, 2025</t>
      </text>
    </comment>
    <comment ref="B9" authorId="0" shapeId="0">
      <text>
        <t>Source: Market data, 2025</t>
      </text>
    </comment>
    <comment ref="B10" authorId="0" shapeId="0">
      <text>
        <t>Source: Industry reports, 2024</t>
      </text>
    </comment>
    <comment ref="B11" authorId="0" shapeId="0">
      <text>
        <t>Source: Industry survey, 2025</t>
      </text>
    </comment>
    <comment ref="B12" authorId="0" shapeId="0">
      <text>
        <t>Source: Gartner forecast, 2024</t>
      </text>
    </comment>
    <comment ref="B13" authorId="0" shapeId="0">
      <text>
        <t>Source: GitHub/Industry data, 2025</t>
      </text>
    </comment>
    <comment ref="B14" authorId="0" shapeId="0">
      <text>
        <t>Source: Industry report, 2024</t>
      </text>
    </comment>
    <comment ref="B19" authorId="0" shapeId="0">
      <text>
        <t>intel.py: FINANCIAL['year_1']['revenue']</t>
      </text>
    </comment>
    <comment ref="C19" authorId="0" shapeId="0">
      <text>
        <t>intel.py: FINANCIAL['year_1']['cost']</t>
      </text>
    </comment>
    <comment ref="D19" authorId="0" shapeId="0">
      <text>
        <t>intel.py: FINANCIAL['year_1']['users']</t>
      </text>
    </comment>
    <comment ref="B20" authorId="0" shapeId="0">
      <text>
        <t>intel.py: FINANCIAL['year_2']['revenue']</t>
      </text>
    </comment>
    <comment ref="C20" authorId="0" shapeId="0">
      <text>
        <t>intel.py: FINANCIAL['year_2']['cost']</t>
      </text>
    </comment>
    <comment ref="D20" authorId="0" shapeId="0">
      <text>
        <t>intel.py: FINANCIAL['year_2']['users']</t>
      </text>
    </comment>
    <comment ref="B21" authorId="0" shapeId="0">
      <text>
        <t>intel.py: FINANCIAL['year_3']['revenue']</t>
      </text>
    </comment>
    <comment ref="C21" authorId="0" shapeId="0">
      <text>
        <t>intel.py: FINANCIAL['year_3']['cost']</t>
      </text>
    </comment>
    <comment ref="D21" authorId="0" shapeId="0">
      <text>
        <t>intel.py: FINANCIAL['year_3']['users']</t>
      </text>
    </comment>
    <comment ref="B22" authorId="0" shapeId="0">
      <text>
        <t>intel.py: FINANCIAL['year_4']['revenue']</t>
      </text>
    </comment>
    <comment ref="C22" authorId="0" shapeId="0">
      <text>
        <t>intel.py: FINANCIAL['year_4']['cost']</t>
      </text>
    </comment>
    <comment ref="D22" authorId="0" shapeId="0">
      <text>
        <t>intel.py: FINANCIAL['year_4']['users']</t>
      </text>
    </comment>
    <comment ref="B23" authorId="0" shapeId="0">
      <text>
        <t>intel.py: FINANCIAL['year_5']['revenue']</t>
      </text>
    </comment>
    <comment ref="C23" authorId="0" shapeId="0">
      <text>
        <t>intel.py: FINANCIAL['year_5']['cost']</t>
      </text>
    </comment>
    <comment ref="D23" authorId="0" shapeId="0">
      <text>
        <t>intel.py: FINANCIAL['year_5']['users']</t>
      </text>
    </comment>
    <comment ref="B27" authorId="0" shapeId="0">
      <text>
        <t>Free open source</t>
      </text>
    </comment>
    <comment ref="B28" authorId="0" shapeId="0">
      <text>
        <t>intel.py: PRICING['team']</t>
      </text>
    </comment>
    <comment ref="B29" authorId="0" shapeId="0">
      <text>
        <t>intel.py: PRICING['enterprise']</t>
      </text>
    </comment>
    <comment ref="B30" authorId="0" shapeId="0">
      <text>
        <t>Estimated avg enterprise contract</t>
      </text>
    </comment>
    <comment ref="B31" authorId="0" shapeId="0">
      <text>
        <t>Conservative vs list $25</t>
      </text>
    </comment>
    <comment ref="B32" authorId="0" shapeId="0">
      <text>
        <t>Annual contract increase</t>
      </text>
    </comment>
    <comment ref="B36" authorId="0" shapeId="0">
      <text>
        <t>Derived from intel.py Y2→Y3 revenue</t>
      </text>
    </comment>
    <comment ref="B37" authorId="0" shapeId="0">
      <text>
        <t>SaaS benchmark</t>
      </text>
    </comment>
    <comment ref="B38" authorId="0" shapeId="0">
      <text>
        <t>Heavy investment phase</t>
      </text>
    </comment>
    <comment ref="B39" authorId="0" shapeId="0">
      <text>
        <t>Enterprise sales investment</t>
      </text>
    </comment>
    <comment ref="B40" authorId="0" shapeId="0">
      <text>
        <t>Lean team target</t>
      </text>
    </comment>
    <comment ref="B41" authorId="0" shapeId="0">
      <text>
        <t>US federal statutory</t>
      </text>
    </comment>
    <comment ref="B42" authorId="0" shapeId="0">
      <text>
        <t>Early-stage venture WACC</t>
      </text>
    </comment>
    <comment ref="B46" authorId="0" shapeId="0">
      <text>
        <t>Addressable teams</t>
      </text>
    </comment>
    <comment ref="B47" authorId="0" shapeId="0">
      <text>
        <t>5% market penetration Y5</t>
      </text>
    </comment>
    <comment ref="B48" authorId="0" shapeId="0">
      <text>
        <t>Addressable orgs</t>
      </text>
    </comment>
    <comment ref="B49" authorId="0" shapeId="0">
      <text>
        <t>3% market penetration Y5</t>
      </text>
    </comment>
    <comment ref="B50" authorId="0" shapeId="0">
      <text>
        <t>Addressable teams</t>
      </text>
    </comment>
    <comment ref="B51" authorId="0" shapeId="0">
      <text>
        <t>4% market penetration Y5</t>
      </text>
    </comment>
    <comment ref="B52" authorId="0" shapeId="0">
      <text>
        <t>Addressable orgs</t>
      </text>
    </comment>
    <comment ref="B53" authorId="0" shapeId="0">
      <text>
        <t>2% market penetration Y5</t>
      </text>
    </comment>
    <comment ref="B57" authorId="0" shapeId="0">
      <text>
        <t>S&amp;M cost / new customers</t>
      </text>
    </comment>
    <comment ref="B58" authorId="0" shapeId="0">
      <text>
        <t>Dedicated sales + legal</t>
      </text>
    </comment>
    <comment ref="B59" authorId="0" shapeId="0">
      <text>
        <t>Annual contracts</t>
      </text>
    </comment>
    <comment ref="B60" authorId="0" shapeId="0">
      <text>
        <t>2% monthly churn</t>
      </text>
    </comment>
    <comment ref="B61" authorId="0" shapeId="0">
      <text>
        <t>0.5% monthly churn</t>
      </text>
    </comment>
    <comment ref="B62" authorId="0" shapeId="0">
      <text>
        <t>After hosting/infra costs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48" authorId="0" shapeId="0">
      <text>
        <t>Verify no hardcoded numbers exist in rows 12-37 of '5-Year Projection'</t>
      </text>
    </comment>
    <comment ref="B50" authorId="0" shapeId="0">
      <text>
        <t>Scan Inputs!B6:B62 — all must be blue font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NEURALMIND — KEY MODEL INPUTS</t>
        </is>
      </c>
      <c r="B1" s="2" t="n"/>
      <c r="C1" s="2" t="n"/>
      <c r="D1" s="2" t="n"/>
    </row>
    <row r="4">
      <c r="A4" s="3" t="inlineStr">
        <is>
          <t>MARKET ASSUMPTIONS</t>
        </is>
      </c>
      <c r="B4" s="2" t="n"/>
      <c r="C4" s="2" t="n"/>
      <c r="D4" s="2" t="n"/>
    </row>
    <row r="6">
      <c r="A6" t="inlineStr">
        <is>
          <t>Total Addressable Market 2025 ($B)</t>
        </is>
      </c>
      <c r="B6" s="4" t="n">
        <v>7.65</v>
      </c>
    </row>
    <row r="7">
      <c r="A7" t="inlineStr">
        <is>
          <t>Projected TAM 2030 ($B)</t>
        </is>
      </c>
      <c r="B7" s="4" t="n">
        <v>22.2</v>
      </c>
    </row>
    <row r="8">
      <c r="A8" t="inlineStr">
        <is>
          <t>Market CAGR</t>
        </is>
      </c>
      <c r="B8" s="5" t="n">
        <v>0.238</v>
      </c>
    </row>
    <row r="9">
      <c r="A9" t="inlineStr">
        <is>
          <t>Cloud Share of Market 2025</t>
        </is>
      </c>
      <c r="B9" s="5" t="n">
        <v>0.7247</v>
      </c>
    </row>
    <row r="10">
      <c r="A10" t="inlineStr">
        <is>
          <t>Enterprise AI Market 2024 ($B)</t>
        </is>
      </c>
      <c r="B10" s="4" t="n">
        <v>24</v>
      </c>
    </row>
    <row r="11">
      <c r="A11" t="inlineStr">
        <is>
          <t>Developer AI Adoption 2025</t>
        </is>
      </c>
      <c r="B11" s="5" t="n">
        <v>0.91</v>
      </c>
    </row>
    <row r="12">
      <c r="A12" t="inlineStr">
        <is>
          <t>Gartner 2028 Developer Adoption</t>
        </is>
      </c>
      <c r="B12" s="5" t="n">
        <v>0.75</v>
      </c>
    </row>
    <row r="13">
      <c r="A13" t="inlineStr">
        <is>
          <t>Code Generation Use-Case Share</t>
        </is>
      </c>
      <c r="B13" s="5" t="n">
        <v>0.41</v>
      </c>
    </row>
    <row r="14">
      <c r="A14" t="inlineStr">
        <is>
          <t>AI Project Cancellation Rate 2027</t>
        </is>
      </c>
      <c r="B14" s="5" t="n">
        <v>0.4</v>
      </c>
    </row>
    <row r="16">
      <c r="A16" s="3" t="inlineStr">
        <is>
          <t>5-YEAR FINANCIAL PROJECTIONS</t>
        </is>
      </c>
      <c r="B16" s="2" t="n"/>
      <c r="C16" s="2" t="n"/>
      <c r="D16" s="2" t="n"/>
    </row>
    <row r="18">
      <c r="A18" s="6" t="inlineStr">
        <is>
          <t>Year</t>
        </is>
      </c>
      <c r="B18" s="6" t="inlineStr">
        <is>
          <t>Revenue ($)</t>
        </is>
      </c>
      <c r="C18" s="6" t="inlineStr">
        <is>
          <t>Cost ($)</t>
        </is>
      </c>
      <c r="D18" s="6" t="inlineStr">
        <is>
          <t>Users (Seats)</t>
        </is>
      </c>
    </row>
    <row r="19">
      <c r="A19" s="7" t="inlineStr">
        <is>
          <t>Year 1</t>
        </is>
      </c>
      <c r="B19" s="4" t="n">
        <v>0</v>
      </c>
      <c r="C19" s="4" t="n">
        <v>85000</v>
      </c>
      <c r="D19" s="4" t="n">
        <v>0</v>
      </c>
    </row>
    <row r="20">
      <c r="A20" s="7" t="inlineStr">
        <is>
          <t>Year 2</t>
        </is>
      </c>
      <c r="B20" s="4" t="n">
        <v>45000</v>
      </c>
      <c r="C20" s="4" t="n">
        <v>180000</v>
      </c>
      <c r="D20" s="4" t="n">
        <v>50</v>
      </c>
    </row>
    <row r="21">
      <c r="A21" s="7" t="inlineStr">
        <is>
          <t>Year 3</t>
        </is>
      </c>
      <c r="B21" s="4" t="n">
        <v>320000</v>
      </c>
      <c r="C21" s="4" t="n">
        <v>380000</v>
      </c>
      <c r="D21" s="4" t="n">
        <v>250</v>
      </c>
    </row>
    <row r="22">
      <c r="A22" s="7" t="inlineStr">
        <is>
          <t>Year 4</t>
        </is>
      </c>
      <c r="B22" s="4" t="n">
        <v>950000</v>
      </c>
      <c r="C22" s="4" t="n">
        <v>620000</v>
      </c>
      <c r="D22" s="4" t="n">
        <v>750</v>
      </c>
    </row>
    <row r="23">
      <c r="A23" s="7" t="inlineStr">
        <is>
          <t>Year 5</t>
        </is>
      </c>
      <c r="B23" s="4" t="n">
        <v>2400000</v>
      </c>
      <c r="C23" s="4" t="n">
        <v>1100000</v>
      </c>
      <c r="D23" s="4" t="n">
        <v>2000</v>
      </c>
    </row>
    <row r="25">
      <c r="A25" s="3" t="inlineStr">
        <is>
          <t>PRICING ASSUMPTIONS</t>
        </is>
      </c>
      <c r="B25" s="2" t="n"/>
      <c r="C25" s="2" t="n"/>
      <c r="D25" s="2" t="n"/>
    </row>
    <row r="27">
      <c r="A27" t="inlineStr">
        <is>
          <t>OSS Price ($/mo)</t>
        </is>
      </c>
      <c r="B27" s="4" t="n">
        <v>0</v>
      </c>
    </row>
    <row r="28">
      <c r="A28" t="inlineStr">
        <is>
          <t>Team Price ($/user/mo)</t>
        </is>
      </c>
      <c r="B28" s="4" t="n">
        <v>25</v>
      </c>
    </row>
    <row r="29">
      <c r="A29" t="inlineStr">
        <is>
          <t>Enterprise Min Price ($/yr)</t>
        </is>
      </c>
      <c r="B29" s="4" t="n">
        <v>50000</v>
      </c>
    </row>
    <row r="30">
      <c r="A30" t="inlineStr">
        <is>
          <t>Avg Enterprise Deal ($/yr)</t>
        </is>
      </c>
      <c r="B30" s="4" t="n">
        <v>75000</v>
      </c>
    </row>
    <row r="31">
      <c r="A31" t="inlineStr">
        <is>
          <t>Blended Team ARPU ($/user/mo)</t>
        </is>
      </c>
      <c r="B31" s="8" t="n">
        <v>22</v>
      </c>
    </row>
    <row r="32">
      <c r="A32" t="inlineStr">
        <is>
          <t>Annual Price Escalator</t>
        </is>
      </c>
      <c r="B32" s="5" t="n">
        <v>0.05</v>
      </c>
    </row>
    <row r="34">
      <c r="A34" s="3" t="inlineStr">
        <is>
          <t>GROWTH &amp; MARGIN ASSUMPTIONS</t>
        </is>
      </c>
      <c r="B34" s="2" t="n"/>
      <c r="C34" s="2" t="n"/>
      <c r="D34" s="2" t="n"/>
    </row>
    <row r="36">
      <c r="A36" t="inlineStr">
        <is>
          <t>Revenue Growth Y2→Y3</t>
        </is>
      </c>
      <c r="B36" s="5" t="n">
        <v>6.111111111111111</v>
      </c>
    </row>
    <row r="37">
      <c r="A37" t="inlineStr">
        <is>
          <t>Gross Margin Target</t>
        </is>
      </c>
      <c r="B37" s="5" t="n">
        <v>0.75</v>
      </c>
    </row>
    <row r="38">
      <c r="A38" t="inlineStr">
        <is>
          <t>R&amp;D % of Revenue</t>
        </is>
      </c>
      <c r="B38" s="5" t="n">
        <v>0.55</v>
      </c>
    </row>
    <row r="39">
      <c r="A39" t="inlineStr">
        <is>
          <t>S&amp;M % of Revenue</t>
        </is>
      </c>
      <c r="B39" s="5" t="n">
        <v>0.3</v>
      </c>
    </row>
    <row r="40">
      <c r="A40" t="inlineStr">
        <is>
          <t>G&amp;A % of Revenue</t>
        </is>
      </c>
      <c r="B40" s="5" t="n">
        <v>0.15</v>
      </c>
    </row>
    <row r="41">
      <c r="A41" t="inlineStr">
        <is>
          <t>Tax Rate</t>
        </is>
      </c>
      <c r="B41" s="5" t="n">
        <v>0.21</v>
      </c>
    </row>
    <row r="42">
      <c r="A42" t="inlineStr">
        <is>
          <t>Discount Rate (WACC)</t>
        </is>
      </c>
      <c r="B42" s="5" t="n">
        <v>0.12</v>
      </c>
    </row>
    <row r="44">
      <c r="A44" s="3" t="inlineStr">
        <is>
          <t>SEGMENT SENSITIVITY</t>
        </is>
      </c>
      <c r="B44" s="2" t="n"/>
      <c r="C44" s="2" t="n"/>
      <c r="D44" s="2" t="n"/>
    </row>
    <row r="46">
      <c r="A46" t="inlineStr">
        <is>
          <t>Engineering Teams — Total</t>
        </is>
      </c>
      <c r="B46" s="4" t="n">
        <v>5000</v>
      </c>
    </row>
    <row r="47">
      <c r="A47" t="inlineStr">
        <is>
          <t>Engineering Teams — Captured Y5</t>
        </is>
      </c>
      <c r="B47" s="5" t="n">
        <v>0.05</v>
      </c>
    </row>
    <row r="48">
      <c r="A48" t="inlineStr">
        <is>
          <t>Security-Sensitive — Total</t>
        </is>
      </c>
      <c r="B48" s="4" t="n">
        <v>1200</v>
      </c>
    </row>
    <row r="49">
      <c r="A49" t="inlineStr">
        <is>
          <t>Security-Sensitive — Captured Y5</t>
        </is>
      </c>
      <c r="B49" s="5" t="n">
        <v>0.03</v>
      </c>
    </row>
    <row r="50">
      <c r="A50" t="inlineStr">
        <is>
          <t>Platform/Infra — Total</t>
        </is>
      </c>
      <c r="B50" s="4" t="n">
        <v>3000</v>
      </c>
    </row>
    <row r="51">
      <c r="A51" t="inlineStr">
        <is>
          <t>Platform/Infra — Captured Y5</t>
        </is>
      </c>
      <c r="B51" s="5" t="n">
        <v>0.04</v>
      </c>
    </row>
    <row r="52">
      <c r="A52" t="inlineStr">
        <is>
          <t>Business/Management — Total</t>
        </is>
      </c>
      <c r="B52" s="4" t="n">
        <v>8000</v>
      </c>
    </row>
    <row r="53">
      <c r="A53" t="inlineStr">
        <is>
          <t>Business/Management — Captured Y5</t>
        </is>
      </c>
      <c r="B53" s="5" t="n">
        <v>0.02</v>
      </c>
    </row>
    <row r="55">
      <c r="A55" s="3" t="inlineStr">
        <is>
          <t>UNIT ECONOMICS</t>
        </is>
      </c>
      <c r="B55" s="2" t="n"/>
      <c r="C55" s="2" t="n"/>
      <c r="D55" s="2" t="n"/>
    </row>
    <row r="57">
      <c r="A57" t="inlineStr">
        <is>
          <t>CAC — Team Segment ($)</t>
        </is>
      </c>
      <c r="B57" s="4" t="n">
        <v>500</v>
      </c>
    </row>
    <row r="58">
      <c r="A58" t="inlineStr">
        <is>
          <t>CAC — Enterprise Segment ($)</t>
        </is>
      </c>
      <c r="B58" s="4" t="n">
        <v>5000</v>
      </c>
    </row>
    <row r="59">
      <c r="A59" t="inlineStr">
        <is>
          <t>Avg Contract Length (months)</t>
        </is>
      </c>
      <c r="B59" s="4" t="n">
        <v>12</v>
      </c>
    </row>
    <row r="60">
      <c r="A60" t="inlineStr">
        <is>
          <t>Monthly Churn — Team (%)</t>
        </is>
      </c>
      <c r="B60" s="5" t="n">
        <v>0.02</v>
      </c>
    </row>
    <row r="61">
      <c r="A61" t="inlineStr">
        <is>
          <t>Monthly Churn — Enterprise (%)</t>
        </is>
      </c>
      <c r="B61" s="5" t="n">
        <v>0.005</v>
      </c>
    </row>
    <row r="62">
      <c r="A62" t="inlineStr">
        <is>
          <t>Gross Margin (%)</t>
        </is>
      </c>
      <c r="B62" s="5" t="n">
        <v>0.8</v>
      </c>
    </row>
  </sheetData>
  <mergeCells count="7">
    <mergeCell ref="A1:D1"/>
    <mergeCell ref="A34:D34"/>
    <mergeCell ref="A4:D4"/>
    <mergeCell ref="A55:D55"/>
    <mergeCell ref="A25:D25"/>
    <mergeCell ref="A16:D16"/>
    <mergeCell ref="A44:D4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5-YEAR P&amp;L PROJECTION</t>
        </is>
      </c>
      <c r="B1" s="2" t="n"/>
      <c r="C1" s="2" t="n"/>
      <c r="D1" s="2" t="n"/>
      <c r="E1" s="2" t="n"/>
      <c r="F1" s="2" t="n"/>
    </row>
    <row r="3">
      <c r="A3" s="6" t="inlineStr">
        <is>
          <t>Line Item</t>
        </is>
      </c>
      <c r="B3" s="1" t="inlineStr">
        <is>
          <t>Year 1</t>
        </is>
      </c>
      <c r="C3" s="1" t="inlineStr">
        <is>
          <t>Year 2</t>
        </is>
      </c>
      <c r="D3" s="1" t="inlineStr">
        <is>
          <t>Year 3</t>
        </is>
      </c>
      <c r="E3" s="1" t="inlineStr">
        <is>
          <t>Year 4</t>
        </is>
      </c>
      <c r="F3" s="1" t="inlineStr">
        <is>
          <t>Year 5</t>
        </is>
      </c>
    </row>
    <row r="5">
      <c r="A5" s="9" t="inlineStr">
        <is>
          <t>REVENUE DRIVERS</t>
        </is>
      </c>
      <c r="B5" s="10" t="n"/>
      <c r="C5" s="10" t="n"/>
      <c r="D5" s="10" t="n"/>
      <c r="E5" s="10" t="n"/>
      <c r="F5" s="10" t="n"/>
    </row>
    <row r="7">
      <c r="A7" t="inlineStr">
        <is>
          <t>OSS Users (cumulative)</t>
        </is>
      </c>
      <c r="B7" s="7" t="inlineStr">
        <is>
          <t>0</t>
        </is>
      </c>
      <c r="C7" s="7">
        <f>'5-Year Projection'!B7+250</f>
        <v/>
      </c>
      <c r="D7" s="7">
        <f>D7+250*(3-1)</f>
        <v/>
      </c>
      <c r="E7" s="7">
        <f>E7+250*(4-1)</f>
        <v/>
      </c>
      <c r="F7" s="7">
        <f>F7+250*(5-1)</f>
        <v/>
      </c>
    </row>
    <row r="8">
      <c r="A8" t="inlineStr">
        <is>
          <t>Team Seats</t>
        </is>
      </c>
      <c r="B8" s="7" t="inlineStr">
        <is>
          <t>0</t>
        </is>
      </c>
      <c r="C8" s="11">
        <f>Inputs!B20</f>
        <v/>
      </c>
      <c r="D8" s="11">
        <f>Inputs!B21</f>
        <v/>
      </c>
      <c r="E8" s="11">
        <f>Inputs!B22</f>
        <v/>
      </c>
      <c r="F8" s="11">
        <f>Inputs!B23</f>
        <v/>
      </c>
    </row>
    <row r="9">
      <c r="A9" t="inlineStr">
        <is>
          <t>Enterprise Deals</t>
        </is>
      </c>
      <c r="B9" s="7" t="inlineStr">
        <is>
          <t>0</t>
        </is>
      </c>
      <c r="C9" s="7" t="inlineStr">
        <is>
          <t>0</t>
        </is>
      </c>
      <c r="D9" s="7" t="inlineStr">
        <is>
          <t>10</t>
        </is>
      </c>
      <c r="E9" s="7">
        <f>D9+ROUND(D9*0.6,0)</f>
        <v/>
      </c>
      <c r="F9" s="7">
        <f>E9+ROUND(E9*0.6,0)</f>
        <v/>
      </c>
    </row>
    <row r="11">
      <c r="A11" s="6" t="inlineStr">
        <is>
          <t>REVENUE</t>
        </is>
      </c>
    </row>
    <row r="12">
      <c r="A12" t="inlineStr">
        <is>
          <t>Team Subscription Revenue</t>
        </is>
      </c>
      <c r="B12" s="7" t="inlineStr">
        <is>
          <t>0</t>
        </is>
      </c>
      <c r="C12" s="7">
        <f>C8*Inputs!$B$31*12</f>
        <v/>
      </c>
      <c r="D12" s="7">
        <f>D8*Inputs!$B$31*12</f>
        <v/>
      </c>
      <c r="E12" s="7">
        <f>E8*Inputs!$B$31*12</f>
        <v/>
      </c>
      <c r="F12" s="7">
        <f>F8*Inputs!$B$31*12</f>
        <v/>
      </c>
    </row>
    <row r="13">
      <c r="A13" t="inlineStr">
        <is>
          <t>Enterprise Revenue</t>
        </is>
      </c>
      <c r="B13" s="7">
        <f>B9*Inputs!$B$30</f>
        <v/>
      </c>
      <c r="C13" s="7">
        <f>C9*Inputs!$B$30</f>
        <v/>
      </c>
      <c r="D13" s="7">
        <f>D9*Inputs!$B$30</f>
        <v/>
      </c>
      <c r="E13" s="7">
        <f>E9*Inputs!$B$30</f>
        <v/>
      </c>
      <c r="F13" s="7">
        <f>F9*Inputs!$B$30</f>
        <v/>
      </c>
    </row>
    <row r="14">
      <c r="A14" t="inlineStr">
        <is>
          <t>OSS / Grants / Other</t>
        </is>
      </c>
      <c r="B14" s="7" t="inlineStr">
        <is>
          <t>0</t>
        </is>
      </c>
      <c r="C14" s="7" t="inlineStr">
        <is>
          <t>0</t>
        </is>
      </c>
      <c r="D14" s="7">
        <f>D8*2</f>
        <v/>
      </c>
      <c r="E14" s="7">
        <f>E8*2</f>
        <v/>
      </c>
      <c r="F14" s="7">
        <f>F8*2</f>
        <v/>
      </c>
    </row>
    <row r="15">
      <c r="A15" s="6" t="inlineStr">
        <is>
          <t>Total Revenue</t>
        </is>
      </c>
      <c r="B15" s="7">
        <f>SUM(B12:B14)</f>
        <v/>
      </c>
      <c r="C15" s="7">
        <f>SUM(C12:C14)</f>
        <v/>
      </c>
      <c r="D15" s="7">
        <f>SUM(D12:D14)</f>
        <v/>
      </c>
      <c r="E15" s="7">
        <f>SUM(E12:E14)</f>
        <v/>
      </c>
      <c r="F15" s="7">
        <f>SUM(F12:F14)</f>
        <v/>
      </c>
    </row>
    <row r="17">
      <c r="A17" s="6" t="inlineStr">
        <is>
          <t>Cost of Revenue</t>
        </is>
      </c>
      <c r="B17" s="7">
        <f>B15*(1-Inputs!$B$37)</f>
        <v/>
      </c>
      <c r="C17" s="7">
        <f>C15*(1-Inputs!$B$37)</f>
        <v/>
      </c>
      <c r="D17" s="7">
        <f>D15*(1-Inputs!$B$37)</f>
        <v/>
      </c>
      <c r="E17" s="7">
        <f>E15*(1-Inputs!$B$37)</f>
        <v/>
      </c>
      <c r="F17" s="7">
        <f>F15*(1-Inputs!$B$37)</f>
        <v/>
      </c>
    </row>
    <row r="18">
      <c r="A18" s="6" t="inlineStr">
        <is>
          <t>Gross Profit</t>
        </is>
      </c>
      <c r="B18" s="7">
        <f>B15-B17</f>
        <v/>
      </c>
      <c r="C18" s="7">
        <f>C15-C17</f>
        <v/>
      </c>
      <c r="D18" s="7">
        <f>D15-D17</f>
        <v/>
      </c>
      <c r="E18" s="7">
        <f>E15-E17</f>
        <v/>
      </c>
      <c r="F18" s="7">
        <f>F15-F17</f>
        <v/>
      </c>
    </row>
    <row r="19">
      <c r="A19" s="6" t="inlineStr">
        <is>
          <t>Gross Margin %</t>
        </is>
      </c>
      <c r="B19" s="12">
        <f>IF(B15=0,0,B18/B15)</f>
        <v/>
      </c>
      <c r="C19" s="12">
        <f>IF(C15=0,0,C18/C15)</f>
        <v/>
      </c>
      <c r="D19" s="12">
        <f>IF(D15=0,0,D18/D15)</f>
        <v/>
      </c>
      <c r="E19" s="12">
        <f>IF(E15=0,0,E18/E15)</f>
        <v/>
      </c>
      <c r="F19" s="12">
        <f>IF(F15=0,0,F18/F15)</f>
        <v/>
      </c>
    </row>
    <row r="21">
      <c r="A21" s="9" t="inlineStr">
        <is>
          <t>OPERATING EXPENSES</t>
        </is>
      </c>
      <c r="B21" s="10" t="n"/>
      <c r="C21" s="10" t="n"/>
      <c r="D21" s="10" t="n"/>
      <c r="E21" s="10" t="n"/>
      <c r="F21" s="10" t="n"/>
    </row>
    <row r="23">
      <c r="A23" t="inlineStr">
        <is>
          <t>R&amp;D</t>
        </is>
      </c>
      <c r="B23" s="7">
        <f>B15*Inputs!$B$38</f>
        <v/>
      </c>
      <c r="C23" s="7">
        <f>C15*Inputs!$B$38</f>
        <v/>
      </c>
      <c r="D23" s="7">
        <f>D15*Inputs!$B$38</f>
        <v/>
      </c>
      <c r="E23" s="7">
        <f>E15*Inputs!$B$38</f>
        <v/>
      </c>
      <c r="F23" s="7">
        <f>F15*Inputs!$B$38</f>
        <v/>
      </c>
    </row>
    <row r="24">
      <c r="A24" t="inlineStr">
        <is>
          <t>Sales &amp; Marketing</t>
        </is>
      </c>
      <c r="B24" s="7">
        <f>B15*Inputs!$B$39</f>
        <v/>
      </c>
      <c r="C24" s="7">
        <f>C15*Inputs!$B$39</f>
        <v/>
      </c>
      <c r="D24" s="7">
        <f>D15*Inputs!$B$39</f>
        <v/>
      </c>
      <c r="E24" s="7">
        <f>E15*Inputs!$B$39</f>
        <v/>
      </c>
      <c r="F24" s="7">
        <f>F15*Inputs!$B$39</f>
        <v/>
      </c>
    </row>
    <row r="25">
      <c r="A25" t="inlineStr">
        <is>
          <t>General &amp; Administrative</t>
        </is>
      </c>
      <c r="B25" s="7">
        <f>B15*Inputs!$B$40</f>
        <v/>
      </c>
      <c r="C25" s="7">
        <f>C15*Inputs!$B$40</f>
        <v/>
      </c>
      <c r="D25" s="7">
        <f>D15*Inputs!$B$40</f>
        <v/>
      </c>
      <c r="E25" s="7">
        <f>E15*Inputs!$B$40</f>
        <v/>
      </c>
      <c r="F25" s="7">
        <f>F15*Inputs!$B$40</f>
        <v/>
      </c>
    </row>
    <row r="26">
      <c r="A26" s="6" t="inlineStr">
        <is>
          <t>Total OpEx</t>
        </is>
      </c>
      <c r="B26" s="7">
        <f>SUM(B23:B25)</f>
        <v/>
      </c>
      <c r="C26" s="7">
        <f>SUM(C23:C25)</f>
        <v/>
      </c>
      <c r="D26" s="7">
        <f>SUM(D23:D25)</f>
        <v/>
      </c>
      <c r="E26" s="7">
        <f>SUM(E23:E25)</f>
        <v/>
      </c>
      <c r="F26" s="7">
        <f>SUM(F23:F25)</f>
        <v/>
      </c>
    </row>
    <row r="28">
      <c r="A28" s="6" t="inlineStr">
        <is>
          <t>EBITDA</t>
        </is>
      </c>
      <c r="B28" s="7">
        <f>B18-B26</f>
        <v/>
      </c>
      <c r="C28" s="7">
        <f>C18-C26</f>
        <v/>
      </c>
      <c r="D28" s="7">
        <f>D18-D26</f>
        <v/>
      </c>
      <c r="E28" s="7">
        <f>E18-E26</f>
        <v/>
      </c>
      <c r="F28" s="7">
        <f>F18-F26</f>
        <v/>
      </c>
    </row>
    <row r="29">
      <c r="A29" s="6" t="inlineStr">
        <is>
          <t>EBITDA Margin %</t>
        </is>
      </c>
      <c r="B29" s="12">
        <f>IF(B15=0,0,B28/B15)</f>
        <v/>
      </c>
      <c r="C29" s="12">
        <f>IF(C15=0,0,C28/C15)</f>
        <v/>
      </c>
      <c r="D29" s="12">
        <f>IF(D15=0,0,D28/D15)</f>
        <v/>
      </c>
      <c r="E29" s="12">
        <f>IF(E15=0,0,E28/E15)</f>
        <v/>
      </c>
      <c r="F29" s="12">
        <f>IF(F15=0,0,F28/F15)</f>
        <v/>
      </c>
    </row>
    <row r="31">
      <c r="A31" t="inlineStr">
        <is>
          <t>Depreciation &amp; Amortization</t>
        </is>
      </c>
      <c r="B31" s="7">
        <f>B23*0.10</f>
        <v/>
      </c>
      <c r="C31" s="7">
        <f>C23*0.10</f>
        <v/>
      </c>
      <c r="D31" s="7">
        <f>D23*0.10</f>
        <v/>
      </c>
      <c r="E31" s="7">
        <f>E23*0.10</f>
        <v/>
      </c>
      <c r="F31" s="7">
        <f>F23*0.10</f>
        <v/>
      </c>
    </row>
    <row r="32">
      <c r="A32" s="6" t="inlineStr">
        <is>
          <t>EBIT</t>
        </is>
      </c>
      <c r="B32" s="7">
        <f>B28-B31</f>
        <v/>
      </c>
      <c r="C32" s="7">
        <f>C28-C31</f>
        <v/>
      </c>
      <c r="D32" s="7">
        <f>D28-D31</f>
        <v/>
      </c>
      <c r="E32" s="7">
        <f>E28-E31</f>
        <v/>
      </c>
      <c r="F32" s="7">
        <f>F28-F31</f>
        <v/>
      </c>
    </row>
    <row r="33">
      <c r="A33" t="inlineStr">
        <is>
          <t>Interest Expense</t>
        </is>
      </c>
      <c r="B33" s="7" t="inlineStr">
        <is>
          <t>0</t>
        </is>
      </c>
      <c r="C33" s="7" t="inlineStr">
        <is>
          <t>0</t>
        </is>
      </c>
      <c r="D33" s="7" t="inlineStr">
        <is>
          <t>5000</t>
        </is>
      </c>
      <c r="E33" s="7" t="inlineStr">
        <is>
          <t>5000</t>
        </is>
      </c>
      <c r="F33" s="7" t="inlineStr">
        <is>
          <t>5000</t>
        </is>
      </c>
    </row>
    <row r="34">
      <c r="A34" s="6" t="inlineStr">
        <is>
          <t>EBT</t>
        </is>
      </c>
      <c r="B34" s="7">
        <f>B32-B33</f>
        <v/>
      </c>
      <c r="C34" s="7">
        <f>C32-C33</f>
        <v/>
      </c>
      <c r="D34" s="7">
        <f>D32-D33</f>
        <v/>
      </c>
      <c r="E34" s="7">
        <f>E32-E33</f>
        <v/>
      </c>
      <c r="F34" s="7">
        <f>F32-F33</f>
        <v/>
      </c>
    </row>
    <row r="35">
      <c r="A35" t="inlineStr">
        <is>
          <t>Tax</t>
        </is>
      </c>
      <c r="B35" s="7">
        <f>MAX(B34*Inputs!$B$41,0)</f>
        <v/>
      </c>
      <c r="C35" s="7">
        <f>MAX(C34*Inputs!$B$41,0)</f>
        <v/>
      </c>
      <c r="D35" s="7">
        <f>MAX(D34*Inputs!$B$41,0)</f>
        <v/>
      </c>
      <c r="E35" s="7">
        <f>MAX(E34*Inputs!$B$41,0)</f>
        <v/>
      </c>
      <c r="F35" s="7">
        <f>MAX(F34*Inputs!$B$41,0)</f>
        <v/>
      </c>
    </row>
    <row r="36">
      <c r="A36" s="6" t="inlineStr">
        <is>
          <t>Net Income</t>
        </is>
      </c>
      <c r="B36" s="7">
        <f>B34-B35</f>
        <v/>
      </c>
      <c r="C36" s="7">
        <f>C34-C35</f>
        <v/>
      </c>
      <c r="D36" s="7">
        <f>D34-D35</f>
        <v/>
      </c>
      <c r="E36" s="7">
        <f>E34-E35</f>
        <v/>
      </c>
      <c r="F36" s="7">
        <f>F34-F35</f>
        <v/>
      </c>
    </row>
    <row r="37">
      <c r="A37" s="6" t="inlineStr">
        <is>
          <t>Net Margin %</t>
        </is>
      </c>
      <c r="B37" s="12">
        <f>IF(B15=0,0,B36/B15)</f>
        <v/>
      </c>
      <c r="C37" s="12">
        <f>IF(C15=0,0,C36/C15)</f>
        <v/>
      </c>
      <c r="D37" s="12">
        <f>IF(D15=0,0,D36/D15)</f>
        <v/>
      </c>
      <c r="E37" s="12">
        <f>IF(E15=0,0,E36/E15)</f>
        <v/>
      </c>
      <c r="F37" s="12">
        <f>IF(F15=0,0,F36/F15)</f>
        <v/>
      </c>
    </row>
  </sheetData>
  <mergeCells count="3">
    <mergeCell ref="A21:F21"/>
    <mergeCell ref="A1:F1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PRICING MODEL — OSS / TEAM / ENTERPRISE</t>
        </is>
      </c>
      <c r="B1" s="2" t="n"/>
      <c r="C1" s="2" t="n"/>
      <c r="D1" s="2" t="n"/>
      <c r="E1" s="2" t="n"/>
    </row>
    <row r="3">
      <c r="A3" s="6" t="inlineStr">
        <is>
          <t>Feature / Metric</t>
        </is>
      </c>
      <c r="B3" s="1" t="inlineStr">
        <is>
          <t>OSS</t>
        </is>
      </c>
      <c r="C3" s="1" t="inlineStr">
        <is>
          <t>Team</t>
        </is>
      </c>
      <c r="D3" s="1" t="inlineStr">
        <is>
          <t>Enterprise</t>
        </is>
      </c>
    </row>
    <row r="4">
      <c r="A4" s="6" t="inlineStr">
        <is>
          <t>Price</t>
        </is>
      </c>
      <c r="B4" s="4" t="inlineStr">
        <is>
          <t>0</t>
        </is>
      </c>
      <c r="C4" s="11">
        <f>Inputs!$B$28</f>
        <v/>
      </c>
      <c r="D4" s="7" t="inlineStr">
        <is>
          <t>Custom</t>
        </is>
      </c>
    </row>
    <row r="5">
      <c r="A5" s="7" t="inlineStr">
        <is>
          <t>Billing</t>
        </is>
      </c>
      <c r="B5" s="7" t="inlineStr">
        <is>
          <t>Free</t>
        </is>
      </c>
      <c r="C5" s="7" t="inlineStr">
        <is>
          <t>Annual</t>
        </is>
      </c>
      <c r="D5" s="7" t="inlineStr">
        <is>
          <t>Annual</t>
        </is>
      </c>
    </row>
    <row r="6">
      <c r="A6" s="7" t="inlineStr">
        <is>
          <t>Users</t>
        </is>
      </c>
      <c r="B6" s="7" t="inlineStr">
        <is>
          <t>Unlimited</t>
        </is>
      </c>
      <c r="C6" s="7" t="inlineStr">
        <is>
          <t>Per-seat</t>
        </is>
      </c>
      <c r="D6" s="7" t="inlineStr">
        <is>
          <t>Custom</t>
        </is>
      </c>
    </row>
    <row r="7">
      <c r="A7" s="7" t="inlineStr">
        <is>
          <t>Graph Intelligence</t>
        </is>
      </c>
      <c r="B7" s="7" t="inlineStr">
        <is>
          <t>✓</t>
        </is>
      </c>
      <c r="C7" s="7" t="inlineStr">
        <is>
          <t>✓</t>
        </is>
      </c>
      <c r="D7" s="7" t="inlineStr">
        <is>
          <t>✓</t>
        </is>
      </c>
    </row>
    <row r="8">
      <c r="A8" s="7" t="inlineStr">
        <is>
          <t>Multi-Language Support</t>
        </is>
      </c>
      <c r="B8" s="7" t="inlineStr">
        <is>
          <t>✓</t>
        </is>
      </c>
      <c r="C8" s="7" t="inlineStr">
        <is>
          <t>✓</t>
        </is>
      </c>
      <c r="D8" s="7" t="inlineStr">
        <is>
          <t>✓</t>
        </is>
      </c>
    </row>
    <row r="9">
      <c r="A9" s="7" t="inlineStr">
        <is>
          <t>RBAC</t>
        </is>
      </c>
      <c r="B9" s="7" t="inlineStr">
        <is>
          <t>—</t>
        </is>
      </c>
      <c r="C9" s="7" t="inlineStr">
        <is>
          <t>✓</t>
        </is>
      </c>
      <c r="D9" s="7" t="inlineStr">
        <is>
          <t>✓</t>
        </is>
      </c>
    </row>
    <row r="10">
      <c r="A10" s="7" t="inlineStr">
        <is>
          <t>SSO</t>
        </is>
      </c>
      <c r="B10" s="7" t="inlineStr">
        <is>
          <t>—</t>
        </is>
      </c>
      <c r="C10" s="7" t="inlineStr">
        <is>
          <t>✓</t>
        </is>
      </c>
      <c r="D10" s="7" t="inlineStr">
        <is>
          <t>✓</t>
        </is>
      </c>
    </row>
    <row r="11">
      <c r="A11" s="7" t="inlineStr">
        <is>
          <t>Audit Trail</t>
        </is>
      </c>
      <c r="B11" s="7" t="inlineStr">
        <is>
          <t>—</t>
        </is>
      </c>
      <c r="C11" s="7" t="inlineStr">
        <is>
          <t>✓</t>
        </is>
      </c>
      <c r="D11" s="7" t="inlineStr">
        <is>
          <t>✓</t>
        </is>
      </c>
    </row>
    <row r="12">
      <c r="A12" s="7" t="inlineStr">
        <is>
          <t>Air-Gap / On-Prem</t>
        </is>
      </c>
      <c r="B12" s="7" t="inlineStr">
        <is>
          <t>Manual</t>
        </is>
      </c>
      <c r="C12" s="7" t="inlineStr">
        <is>
          <t>—</t>
        </is>
      </c>
      <c r="D12" s="7" t="inlineStr">
        <is>
          <t>✓</t>
        </is>
      </c>
    </row>
    <row r="13">
      <c r="A13" s="7" t="inlineStr">
        <is>
          <t>Custom Parsers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✓</t>
        </is>
      </c>
    </row>
    <row r="14">
      <c r="A14" s="7" t="inlineStr">
        <is>
          <t>Dedicated CSM</t>
        </is>
      </c>
      <c r="B14" s="7" t="inlineStr">
        <is>
          <t>—</t>
        </is>
      </c>
      <c r="C14" s="7" t="inlineStr">
        <is>
          <t>—</t>
        </is>
      </c>
      <c r="D14" s="7" t="inlineStr">
        <is>
          <t>✓</t>
        </is>
      </c>
    </row>
    <row r="15">
      <c r="A15" s="7" t="inlineStr">
        <is>
          <t>SLA</t>
        </is>
      </c>
      <c r="B15" s="7" t="inlineStr">
        <is>
          <t>—</t>
        </is>
      </c>
      <c r="C15" s="7" t="inlineStr">
        <is>
          <t>—</t>
        </is>
      </c>
      <c r="D15" s="7" t="inlineStr">
        <is>
          <t>✓</t>
        </is>
      </c>
    </row>
    <row r="16">
      <c r="A16" s="6" t="inlineStr">
        <is>
          <t>Annual Contract Value</t>
        </is>
      </c>
      <c r="B16" s="7" t="inlineStr">
        <is>
          <t>$0</t>
        </is>
      </c>
      <c r="C16" s="11">
        <f>Inputs!$B$31*12</f>
        <v/>
      </c>
      <c r="D16" s="11">
        <f>Inputs!$B$30</f>
        <v/>
      </c>
    </row>
    <row r="19">
      <c r="A19" s="1" t="inlineStr">
        <is>
          <t>REVENUE MIX PROJECTION</t>
        </is>
      </c>
      <c r="B19" s="2" t="n"/>
      <c r="C19" s="2" t="n"/>
      <c r="D19" s="2" t="n"/>
      <c r="E19" s="2" t="n"/>
    </row>
    <row r="21">
      <c r="A21" s="6" t="inlineStr">
        <is>
          <t>Year</t>
        </is>
      </c>
      <c r="B21" s="3" t="inlineStr">
        <is>
          <t>Year 1</t>
        </is>
      </c>
      <c r="C21" s="3" t="inlineStr">
        <is>
          <t>Year 2</t>
        </is>
      </c>
      <c r="D21" s="3" t="inlineStr">
        <is>
          <t>Year 3</t>
        </is>
      </c>
      <c r="E21" s="3" t="inlineStr">
        <is>
          <t>Year 4</t>
        </is>
      </c>
      <c r="F21" s="3" t="inlineStr">
        <is>
          <t>Year 5</t>
        </is>
      </c>
    </row>
    <row r="23">
      <c r="A23" t="inlineStr">
        <is>
          <t>Team ARR</t>
        </is>
      </c>
      <c r="B23" s="11">
        <f>'5-Year Projection'!B12</f>
        <v/>
      </c>
      <c r="C23" s="11">
        <f>'5-Year Projection'!C12</f>
        <v/>
      </c>
      <c r="D23" s="11">
        <f>'5-Year Projection'!D12</f>
        <v/>
      </c>
      <c r="E23" s="11">
        <f>'5-Year Projection'!E12</f>
        <v/>
      </c>
      <c r="F23" s="11">
        <f>'5-Year Projection'!F12</f>
        <v/>
      </c>
    </row>
    <row r="24">
      <c r="A24" t="inlineStr">
        <is>
          <t>Enterprise ARR</t>
        </is>
      </c>
      <c r="B24" s="11">
        <f>'5-Year Projection'!B13</f>
        <v/>
      </c>
      <c r="C24" s="11">
        <f>'5-Year Projection'!C13</f>
        <v/>
      </c>
      <c r="D24" s="11">
        <f>'5-Year Projection'!D13</f>
        <v/>
      </c>
      <c r="E24" s="11">
        <f>'5-Year Projection'!E13</f>
        <v/>
      </c>
      <c r="F24" s="11">
        <f>'5-Year Projection'!F13</f>
        <v/>
      </c>
    </row>
    <row r="25">
      <c r="A25" s="6" t="inlineStr">
        <is>
          <t>Total ARR</t>
        </is>
      </c>
      <c r="B25" s="7">
        <f>B23+B24</f>
        <v/>
      </c>
      <c r="C25" s="7">
        <f>C23+C24</f>
        <v/>
      </c>
      <c r="D25" s="7">
        <f>D23+D24</f>
        <v/>
      </c>
      <c r="E25" s="7">
        <f>E23+E24</f>
        <v/>
      </c>
      <c r="F25" s="7">
        <f>F23+F24</f>
        <v/>
      </c>
    </row>
    <row r="27">
      <c r="A27" s="6" t="inlineStr">
        <is>
          <t>Team % of Revenue</t>
        </is>
      </c>
      <c r="B27" s="12">
        <f>IF(B25=0,0,B23/B25)</f>
        <v/>
      </c>
      <c r="C27" s="12">
        <f>IF(C25=0,0,C23/C25)</f>
        <v/>
      </c>
      <c r="D27" s="12">
        <f>IF(D25=0,0,D23/D25)</f>
        <v/>
      </c>
      <c r="E27" s="12">
        <f>IF(E25=0,0,E23/E25)</f>
        <v/>
      </c>
      <c r="F27" s="12">
        <f>IF(F25=0,0,F23/F25)</f>
        <v/>
      </c>
    </row>
    <row r="28">
      <c r="A28" s="6" t="inlineStr">
        <is>
          <t>Enterprise % of Revenue</t>
        </is>
      </c>
      <c r="B28" s="12">
        <f>IF(B25=0,0,B24/B25)</f>
        <v/>
      </c>
      <c r="C28" s="12">
        <f>IF(C25=0,0,C24/C25)</f>
        <v/>
      </c>
      <c r="D28" s="12">
        <f>IF(D25=0,0,D24/D25)</f>
        <v/>
      </c>
      <c r="E28" s="12">
        <f>IF(E25=0,0,E24/E25)</f>
        <v/>
      </c>
      <c r="F28" s="12">
        <f>IF(F25=0,0,F24/F25)</f>
        <v/>
      </c>
    </row>
  </sheetData>
  <mergeCells count="2">
    <mergeCell ref="A1:E1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SEGMENT SENSITIVITY ANALYSIS</t>
        </is>
      </c>
      <c r="B1" s="2" t="n"/>
      <c r="C1" s="2" t="n"/>
      <c r="D1" s="2" t="n"/>
      <c r="E1" s="2" t="n"/>
      <c r="F1" s="2" t="n"/>
    </row>
    <row r="3">
      <c r="A3" s="3" t="inlineStr">
        <is>
          <t>Penetration Rate Sensitivity — Team Revenue Y5</t>
        </is>
      </c>
      <c r="B3" s="2" t="n"/>
      <c r="C3" s="2" t="n"/>
      <c r="D3" s="2" t="n"/>
      <c r="E3" s="2" t="n"/>
      <c r="F3" s="2" t="n"/>
    </row>
    <row r="5">
      <c r="A5" s="6" t="inlineStr">
        <is>
          <t>Penetration % ↓ / Avg Price →</t>
        </is>
      </c>
      <c r="B5" s="8" t="n">
        <v>15</v>
      </c>
      <c r="C5" s="8" t="n">
        <v>20</v>
      </c>
      <c r="D5" s="8" t="n">
        <v>25</v>
      </c>
      <c r="E5" s="8" t="n">
        <v>30</v>
      </c>
      <c r="F5" s="8" t="n">
        <v>35</v>
      </c>
    </row>
    <row r="6">
      <c r="A6" s="13" t="n">
        <v>0.02</v>
      </c>
      <c r="B6" s="7">
        <f>Inputs!$B$46*A6*B5*12</f>
        <v/>
      </c>
      <c r="C6" s="7">
        <f>Inputs!$B$46*A6*C5*12</f>
        <v/>
      </c>
      <c r="D6" s="7">
        <f>Inputs!$B$46*A6*D5*12</f>
        <v/>
      </c>
      <c r="E6" s="7">
        <f>Inputs!$B$46*A6*E5*12</f>
        <v/>
      </c>
      <c r="F6" s="7">
        <f>Inputs!$B$46*A6*F5*12</f>
        <v/>
      </c>
    </row>
    <row r="7">
      <c r="A7" s="13" t="n">
        <v>0.03</v>
      </c>
      <c r="B7" s="7">
        <f>Inputs!$B$46*A7*B5*12</f>
        <v/>
      </c>
      <c r="C7" s="7">
        <f>Inputs!$B$46*A7*C5*12</f>
        <v/>
      </c>
      <c r="D7" s="7">
        <f>Inputs!$B$46*A7*D5*12</f>
        <v/>
      </c>
      <c r="E7" s="7">
        <f>Inputs!$B$46*A7*E5*12</f>
        <v/>
      </c>
      <c r="F7" s="7">
        <f>Inputs!$B$46*A7*F5*12</f>
        <v/>
      </c>
    </row>
    <row r="8">
      <c r="A8" s="13" t="n">
        <v>0.05</v>
      </c>
      <c r="B8" s="7">
        <f>Inputs!$B$46*A8*B5*12</f>
        <v/>
      </c>
      <c r="C8" s="7">
        <f>Inputs!$B$46*A8*C5*12</f>
        <v/>
      </c>
      <c r="D8" s="14">
        <f>Inputs!$B$46*A8*D5*12</f>
        <v/>
      </c>
      <c r="E8" s="7">
        <f>Inputs!$B$46*A8*E5*12</f>
        <v/>
      </c>
      <c r="F8" s="7">
        <f>Inputs!$B$46*A8*F5*12</f>
        <v/>
      </c>
    </row>
    <row r="9">
      <c r="A9" s="13" t="n">
        <v>0.08</v>
      </c>
      <c r="B9" s="7">
        <f>Inputs!$B$46*A9*B5*12</f>
        <v/>
      </c>
      <c r="C9" s="7">
        <f>Inputs!$B$46*A9*C5*12</f>
        <v/>
      </c>
      <c r="D9" s="7">
        <f>Inputs!$B$46*A9*D5*12</f>
        <v/>
      </c>
      <c r="E9" s="7">
        <f>Inputs!$B$46*A9*E5*12</f>
        <v/>
      </c>
      <c r="F9" s="7">
        <f>Inputs!$B$46*A9*F5*12</f>
        <v/>
      </c>
    </row>
    <row r="10">
      <c r="A10" s="13" t="n">
        <v>0.1</v>
      </c>
      <c r="B10" s="7">
        <f>Inputs!$B$46*A10*B5*12</f>
        <v/>
      </c>
      <c r="C10" s="7">
        <f>Inputs!$B$46*A10*C5*12</f>
        <v/>
      </c>
      <c r="D10" s="7">
        <f>Inputs!$B$46*A10*D5*12</f>
        <v/>
      </c>
      <c r="E10" s="7">
        <f>Inputs!$B$46*A10*E5*12</f>
        <v/>
      </c>
      <c r="F10" s="7">
        <f>Inputs!$B$46*A10*F5*12</f>
        <v/>
      </c>
    </row>
    <row r="12">
      <c r="A12" s="3" t="inlineStr">
        <is>
          <t>Enterprise Deal Size Sensitivity — Revenue Y5</t>
        </is>
      </c>
      <c r="B12" s="2" t="n"/>
      <c r="C12" s="2" t="n"/>
      <c r="D12" s="2" t="n"/>
      <c r="E12" s="2" t="n"/>
      <c r="F12" s="2" t="n"/>
    </row>
    <row r="14">
      <c r="A14" s="6" t="inlineStr">
        <is>
          <t>Price ↓ / Deals →</t>
        </is>
      </c>
      <c r="B14" s="4" t="n">
        <v>10</v>
      </c>
      <c r="C14" s="4" t="n">
        <v>20</v>
      </c>
      <c r="D14" s="4" t="n">
        <v>30</v>
      </c>
      <c r="E14" s="4" t="n">
        <v>50</v>
      </c>
      <c r="F14" s="4" t="n">
        <v>75</v>
      </c>
    </row>
    <row r="15">
      <c r="A15" s="8" t="n">
        <v>30000</v>
      </c>
      <c r="B15" s="7">
        <f>A15*B14</f>
        <v/>
      </c>
      <c r="C15" s="7">
        <f>A15*C14</f>
        <v/>
      </c>
      <c r="D15" s="7">
        <f>A15*D14</f>
        <v/>
      </c>
      <c r="E15" s="7">
        <f>A15*E14</f>
        <v/>
      </c>
      <c r="F15" s="7">
        <f>A15*F14</f>
        <v/>
      </c>
    </row>
    <row r="16">
      <c r="A16" s="8" t="n">
        <v>50000</v>
      </c>
      <c r="B16" s="7">
        <f>A16*B14</f>
        <v/>
      </c>
      <c r="C16" s="7">
        <f>A16*C14</f>
        <v/>
      </c>
      <c r="D16" s="7">
        <f>A16*D14</f>
        <v/>
      </c>
      <c r="E16" s="7">
        <f>A16*E14</f>
        <v/>
      </c>
      <c r="F16" s="7">
        <f>A16*F14</f>
        <v/>
      </c>
    </row>
    <row r="17">
      <c r="A17" s="8" t="n">
        <v>75000</v>
      </c>
      <c r="B17" s="7">
        <f>A17*B14</f>
        <v/>
      </c>
      <c r="C17" s="7">
        <f>A17*C14</f>
        <v/>
      </c>
      <c r="D17" s="14">
        <f>A17*D14</f>
        <v/>
      </c>
      <c r="E17" s="7">
        <f>A17*E14</f>
        <v/>
      </c>
      <c r="F17" s="7">
        <f>A17*F14</f>
        <v/>
      </c>
    </row>
    <row r="18">
      <c r="A18" s="8" t="n">
        <v>100000</v>
      </c>
      <c r="B18" s="7">
        <f>A18*B14</f>
        <v/>
      </c>
      <c r="C18" s="7">
        <f>A18*C14</f>
        <v/>
      </c>
      <c r="D18" s="7">
        <f>A18*D14</f>
        <v/>
      </c>
      <c r="E18" s="7">
        <f>A18*E14</f>
        <v/>
      </c>
      <c r="F18" s="7">
        <f>A18*F14</f>
        <v/>
      </c>
    </row>
    <row r="19">
      <c r="A19" s="8" t="n">
        <v>150000</v>
      </c>
      <c r="B19" s="7">
        <f>A19*B14</f>
        <v/>
      </c>
      <c r="C19" s="7">
        <f>A19*C14</f>
        <v/>
      </c>
      <c r="D19" s="7">
        <f>A19*D14</f>
        <v/>
      </c>
      <c r="E19" s="7">
        <f>A19*E14</f>
        <v/>
      </c>
      <c r="F19" s="7">
        <f>A19*F14</f>
        <v/>
      </c>
    </row>
    <row r="23">
      <c r="A23" s="3" t="inlineStr">
        <is>
          <t>SEGMENT CAPTURE SUMMARY (Year 5)</t>
        </is>
      </c>
      <c r="B23" s="2" t="n"/>
      <c r="C23" s="2" t="n"/>
      <c r="D23" s="2" t="n"/>
      <c r="E23" s="2" t="n"/>
      <c r="F23" s="2" t="n"/>
    </row>
    <row r="25">
      <c r="A25" s="6" t="inlineStr">
        <is>
          <t>Segment</t>
        </is>
      </c>
      <c r="B25" s="6" t="inlineStr">
        <is>
          <t>Total Addressable</t>
        </is>
      </c>
      <c r="C25" s="6" t="inlineStr">
        <is>
          <t>Capture Rate</t>
        </is>
      </c>
      <c r="D25" s="6" t="inlineStr">
        <is>
          <t>Captured Units</t>
        </is>
      </c>
      <c r="E25" s="6" t="inlineStr">
        <is>
          <t>Avg Revenue/Unit</t>
        </is>
      </c>
      <c r="F25" s="6" t="inlineStr">
        <is>
          <t>Total Revenue</t>
        </is>
      </c>
    </row>
    <row r="26">
      <c r="A26" s="6" t="inlineStr">
        <is>
          <t>Engineering Teams</t>
        </is>
      </c>
      <c r="B26" s="11">
        <f>Inputs!B46</f>
        <v/>
      </c>
      <c r="C26" s="11">
        <f>Inputs!B47</f>
        <v/>
      </c>
      <c r="D26" s="7">
        <f>B26*C26</f>
        <v/>
      </c>
      <c r="E26" s="11">
        <f>Inputs!$B$31*12</f>
        <v/>
      </c>
      <c r="F26" s="7">
        <f>D26*E26</f>
        <v/>
      </c>
    </row>
    <row r="27">
      <c r="A27" s="6" t="inlineStr">
        <is>
          <t>Security-Sensitive</t>
        </is>
      </c>
      <c r="B27" s="11">
        <f>Inputs!B48</f>
        <v/>
      </c>
      <c r="C27" s="11">
        <f>Inputs!B49</f>
        <v/>
      </c>
      <c r="D27" s="7">
        <f>B27*C27</f>
        <v/>
      </c>
      <c r="E27" s="11">
        <f>Inputs!$B$30</f>
        <v/>
      </c>
      <c r="F27" s="7">
        <f>D27*E27</f>
        <v/>
      </c>
    </row>
    <row r="28">
      <c r="A28" s="6" t="inlineStr">
        <is>
          <t>Platform/Infra</t>
        </is>
      </c>
      <c r="B28" s="11">
        <f>Inputs!B50</f>
        <v/>
      </c>
      <c r="C28" s="11">
        <f>Inputs!B51</f>
        <v/>
      </c>
      <c r="D28" s="7">
        <f>B28*C28</f>
        <v/>
      </c>
      <c r="E28" s="11">
        <f>Inputs!$B$31*12</f>
        <v/>
      </c>
      <c r="F28" s="7">
        <f>D28*E28</f>
        <v/>
      </c>
    </row>
    <row r="29">
      <c r="A29" s="6" t="inlineStr">
        <is>
          <t>Business/Management</t>
        </is>
      </c>
      <c r="B29" s="11">
        <f>Inputs!B52</f>
        <v/>
      </c>
      <c r="C29" s="11">
        <f>Inputs!B53</f>
        <v/>
      </c>
      <c r="D29" s="7">
        <f>B29*C29</f>
        <v/>
      </c>
      <c r="E29" s="11">
        <f>Inputs!$B$30*0.5</f>
        <v/>
      </c>
      <c r="F29" s="7">
        <f>D29*E29</f>
        <v/>
      </c>
    </row>
    <row r="30">
      <c r="A30" s="6" t="inlineStr">
        <is>
          <t>Total</t>
        </is>
      </c>
      <c r="B30" s="7">
        <f>SUM(B26:B29)</f>
        <v/>
      </c>
      <c r="C30" s="7">
        <f>SUM(C26:C29)</f>
        <v/>
      </c>
      <c r="D30" s="7">
        <f>SUM(D26:D29)</f>
        <v/>
      </c>
      <c r="E30" s="7">
        <f>SUM(E26:E29)</f>
        <v/>
      </c>
      <c r="F30" s="7">
        <f>SUM(F26:F29)</f>
        <v/>
      </c>
    </row>
  </sheetData>
  <mergeCells count="4">
    <mergeCell ref="A3:F3"/>
    <mergeCell ref="A1:F1"/>
    <mergeCell ref="A12:F12"/>
    <mergeCell ref="A23:F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3" t="inlineStr">
        <is>
          <t>UNIT ECONOMICS</t>
        </is>
      </c>
      <c r="B1" s="2" t="n"/>
      <c r="C1" s="2" t="n"/>
    </row>
    <row r="3">
      <c r="A3" s="3" t="inlineStr">
        <is>
          <t>TEAM TIER</t>
        </is>
      </c>
      <c r="B3" s="2" t="n"/>
      <c r="C3" s="2" t="n"/>
    </row>
    <row r="5">
      <c r="A5" t="inlineStr">
        <is>
          <t>Average Revenue Per User (ARPU, $/mo)</t>
        </is>
      </c>
      <c r="B5" s="11" t="inlineStr">
        <is>
          <t>Inputs!$B$31</t>
        </is>
      </c>
    </row>
    <row r="6">
      <c r="A6" t="inlineStr">
        <is>
          <t>Monthly Churn Rate</t>
        </is>
      </c>
      <c r="B6" s="15" t="inlineStr">
        <is>
          <t>Inputs!$B$60</t>
        </is>
      </c>
    </row>
    <row r="7">
      <c r="A7" t="inlineStr">
        <is>
          <t>Gross Margin</t>
        </is>
      </c>
      <c r="B7" s="15" t="inlineStr">
        <is>
          <t>Inputs!$B$62</t>
        </is>
      </c>
    </row>
    <row r="8">
      <c r="A8" t="inlineStr">
        <is>
          <t>Customer Lifetime (months)</t>
        </is>
      </c>
      <c r="B8" s="7">
        <f>IF(B6=0,0,1/B6)</f>
        <v/>
      </c>
    </row>
    <row r="9">
      <c r="A9" t="inlineStr">
        <is>
          <t>Lifetime Revenue ($)</t>
        </is>
      </c>
      <c r="B9" s="7">
        <f>B5*B8</f>
        <v/>
      </c>
    </row>
    <row r="10">
      <c r="A10" t="inlineStr">
        <is>
          <t>LTV (Gross Profit, $)</t>
        </is>
      </c>
      <c r="B10" s="7">
        <f>B9*B7</f>
        <v/>
      </c>
    </row>
    <row r="11">
      <c r="A11" t="inlineStr">
        <is>
          <t>CAC ($)</t>
        </is>
      </c>
      <c r="B11" s="11" t="inlineStr">
        <is>
          <t>Inputs!$B$57</t>
        </is>
      </c>
    </row>
    <row r="12">
      <c r="A12" t="inlineStr">
        <is>
          <t>LTV/CAC Ratio</t>
        </is>
      </c>
      <c r="B12" s="16">
        <f>IF(B11=0,0,B10/B11)</f>
        <v/>
      </c>
    </row>
    <row r="13">
      <c r="A13" t="inlineStr">
        <is>
          <t>Payback Period (months)</t>
        </is>
      </c>
      <c r="B13" s="17">
        <f>IF(B5=0,0,B11/(B5*B7))</f>
        <v/>
      </c>
    </row>
    <row r="16">
      <c r="A16" s="3" t="inlineStr">
        <is>
          <t>ENTERPRISE TIER</t>
        </is>
      </c>
      <c r="B16" s="2" t="n"/>
      <c r="C16" s="2" t="n"/>
    </row>
    <row r="18">
      <c r="A18" t="inlineStr">
        <is>
          <t>Average Contract Value ($/yr)</t>
        </is>
      </c>
      <c r="B18" s="18" t="inlineStr">
        <is>
          <t>Inputs!$B$30</t>
        </is>
      </c>
    </row>
    <row r="19">
      <c r="A19" t="inlineStr">
        <is>
          <t>Monthly Churn Rate</t>
        </is>
      </c>
      <c r="B19" s="15" t="inlineStr">
        <is>
          <t>Inputs!$B$61</t>
        </is>
      </c>
    </row>
    <row r="20">
      <c r="A20" t="inlineStr">
        <is>
          <t>Gross Margin</t>
        </is>
      </c>
      <c r="B20" s="15" t="inlineStr">
        <is>
          <t>Inputs!$B$62</t>
        </is>
      </c>
    </row>
    <row r="21">
      <c r="A21" t="inlineStr">
        <is>
          <t>Customer Lifetime (months)</t>
        </is>
      </c>
      <c r="B21" s="7">
        <f>IF(B19=0,0,1/B19)</f>
        <v/>
      </c>
    </row>
    <row r="22">
      <c r="A22" t="inlineStr">
        <is>
          <t>Lifetime Revenue ($)</t>
        </is>
      </c>
      <c r="B22" s="7">
        <f>B18/12*B21</f>
        <v/>
      </c>
    </row>
    <row r="23">
      <c r="A23" t="inlineStr">
        <is>
          <t>LTV (Gross Profit, $)</t>
        </is>
      </c>
      <c r="B23" s="7">
        <f>B22*B20</f>
        <v/>
      </c>
    </row>
    <row r="24">
      <c r="A24" t="inlineStr">
        <is>
          <t>CAC ($)</t>
        </is>
      </c>
      <c r="B24" s="11" t="inlineStr">
        <is>
          <t>Inputs!$B$58</t>
        </is>
      </c>
    </row>
    <row r="25">
      <c r="A25" t="inlineStr">
        <is>
          <t>LTV/CAC Ratio</t>
        </is>
      </c>
      <c r="B25" s="16">
        <f>IF(B24=0,0,B23/B24)</f>
        <v/>
      </c>
    </row>
    <row r="26">
      <c r="A26" t="inlineStr">
        <is>
          <t>Payback Period (months)</t>
        </is>
      </c>
      <c r="B26" s="17">
        <f>IF(B18=0,0,B24/(B18/12*B20))</f>
        <v/>
      </c>
    </row>
    <row r="29">
      <c r="A29" s="3" t="inlineStr">
        <is>
          <t>UNIT ECONOMICS COMPARISON</t>
        </is>
      </c>
      <c r="B29" s="2" t="n"/>
      <c r="C29" s="2" t="n"/>
    </row>
    <row r="31">
      <c r="A31" s="6" t="inlineStr">
        <is>
          <t>Metric</t>
        </is>
      </c>
      <c r="B31" s="6" t="inlineStr">
        <is>
          <t>Team</t>
        </is>
      </c>
      <c r="C31" s="6" t="inlineStr">
        <is>
          <t>Enterprise</t>
        </is>
      </c>
    </row>
    <row r="32">
      <c r="A32" s="6" t="inlineStr">
        <is>
          <t>ARPU / ACV</t>
        </is>
      </c>
      <c r="B32" s="7">
        <f>B5</f>
        <v/>
      </c>
      <c r="C32" s="7">
        <f>B18</f>
        <v/>
      </c>
    </row>
    <row r="33">
      <c r="A33" s="6" t="inlineStr">
        <is>
          <t>Churn (%)</t>
        </is>
      </c>
      <c r="B33" s="7">
        <f>B6</f>
        <v/>
      </c>
      <c r="C33" s="7">
        <f>B19</f>
        <v/>
      </c>
    </row>
    <row r="34">
      <c r="A34" s="6" t="inlineStr">
        <is>
          <t>Gross Margin (%)</t>
        </is>
      </c>
      <c r="B34" s="7">
        <f>B7</f>
        <v/>
      </c>
      <c r="C34" s="7">
        <f>B20</f>
        <v/>
      </c>
    </row>
    <row r="35">
      <c r="A35" s="6" t="inlineStr">
        <is>
          <t>Lifetime (mo)</t>
        </is>
      </c>
      <c r="B35" s="7">
        <f>B8</f>
        <v/>
      </c>
      <c r="C35" s="7">
        <f>B21</f>
        <v/>
      </c>
    </row>
    <row r="36">
      <c r="A36" s="6" t="inlineStr">
        <is>
          <t>LTV ($)</t>
        </is>
      </c>
      <c r="B36" s="7">
        <f>B10</f>
        <v/>
      </c>
      <c r="C36" s="7">
        <f>B23</f>
        <v/>
      </c>
    </row>
    <row r="37">
      <c r="A37" s="6" t="inlineStr">
        <is>
          <t>CAC ($)</t>
        </is>
      </c>
      <c r="B37" s="7">
        <f>B11</f>
        <v/>
      </c>
      <c r="C37" s="7">
        <f>B24</f>
        <v/>
      </c>
    </row>
    <row r="38">
      <c r="A38" s="6" t="inlineStr">
        <is>
          <t>LTV/CAC (x)</t>
        </is>
      </c>
      <c r="B38" s="7">
        <f>B12</f>
        <v/>
      </c>
      <c r="C38" s="7">
        <f>B25</f>
        <v/>
      </c>
    </row>
    <row r="39">
      <c r="A39" s="6" t="inlineStr">
        <is>
          <t>Payback (mo)</t>
        </is>
      </c>
      <c r="B39" s="7">
        <f>B13</f>
        <v/>
      </c>
      <c r="C39" s="7">
        <f>B26</f>
        <v/>
      </c>
    </row>
  </sheetData>
  <mergeCells count="4">
    <mergeCell ref="A1:C1"/>
    <mergeCell ref="A3:C3"/>
    <mergeCell ref="A16:C16"/>
    <mergeCell ref="A29:C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</cols>
  <sheetData>
    <row r="1">
      <c r="A1" s="3" t="inlineStr">
        <is>
          <t>BALANCE CHECKS &amp; RECONCILIATION</t>
        </is>
      </c>
      <c r="B1" s="2" t="n"/>
      <c r="C1" s="2" t="n"/>
      <c r="D1" s="2" t="n"/>
      <c r="E1" s="2" t="n"/>
    </row>
    <row r="3">
      <c r="A3" s="3" t="inlineStr">
        <is>
          <t>BALANCE SHEET BALANCE (Assets = Liabilities + Equity)</t>
        </is>
      </c>
      <c r="B3" s="2" t="n"/>
      <c r="C3" s="2" t="n"/>
      <c r="D3" s="2" t="n"/>
      <c r="E3" s="2" t="n"/>
    </row>
    <row r="5">
      <c r="A5" s="6" t="inlineStr">
        <is>
          <t>Year</t>
        </is>
      </c>
      <c r="B5" s="3" t="inlineStr">
        <is>
          <t>Year 1</t>
        </is>
      </c>
      <c r="C5" s="3" t="inlineStr">
        <is>
          <t>Year 2</t>
        </is>
      </c>
      <c r="D5" s="3" t="inlineStr">
        <is>
          <t>Year 3</t>
        </is>
      </c>
      <c r="E5" s="3" t="inlineStr">
        <is>
          <t>Year 4</t>
        </is>
      </c>
      <c r="F5" s="3" t="inlineStr">
        <is>
          <t>Year 5</t>
        </is>
      </c>
    </row>
    <row r="7">
      <c r="A7" t="inlineStr">
        <is>
          <t>Cash &amp; Equivalents</t>
        </is>
      </c>
      <c r="B7" s="7">
        <f>'5-Year Projection'!B36+100000</f>
        <v/>
      </c>
      <c r="C7" s="7">
        <f>B7+'5-Year Projection'!C36</f>
        <v/>
      </c>
      <c r="D7" s="7">
        <f>C7+'5-Year Projection'!D36</f>
        <v/>
      </c>
      <c r="E7" s="7">
        <f>D7+'5-Year Projection'!E36</f>
        <v/>
      </c>
      <c r="F7" s="7">
        <f>E7+'5-Year Projection'!F36</f>
        <v/>
      </c>
    </row>
    <row r="8">
      <c r="A8" t="inlineStr">
        <is>
          <t>Accounts Receivable</t>
        </is>
      </c>
      <c r="B8" s="7">
        <f>'5-Year Projection'!B15*0.15</f>
        <v/>
      </c>
      <c r="C8" s="7">
        <f>'5-Year Projection'!C15*0.15</f>
        <v/>
      </c>
      <c r="D8" s="7">
        <f>'5-Year Projection'!D15*0.15</f>
        <v/>
      </c>
      <c r="E8" s="7">
        <f>'5-Year Projection'!E15*0.15</f>
        <v/>
      </c>
      <c r="F8" s="7">
        <f>'5-Year Projection'!F15*0.15</f>
        <v/>
      </c>
    </row>
    <row r="9">
      <c r="A9" s="6" t="inlineStr">
        <is>
          <t>Total Assets</t>
        </is>
      </c>
      <c r="B9" s="7">
        <f>B7+B8</f>
        <v/>
      </c>
      <c r="C9" s="7">
        <f>C7+C8</f>
        <v/>
      </c>
      <c r="D9" s="7">
        <f>D7+D8</f>
        <v/>
      </c>
      <c r="E9" s="7">
        <f>E7+E8</f>
        <v/>
      </c>
      <c r="F9" s="7">
        <f>F7+F8</f>
        <v/>
      </c>
    </row>
    <row r="11">
      <c r="A11" t="inlineStr">
        <is>
          <t>Accounts Payable</t>
        </is>
      </c>
      <c r="B11" s="7">
        <f>'5-Year Projection'!B26*0.10</f>
        <v/>
      </c>
      <c r="C11" s="7">
        <f>'5-Year Projection'!C26*0.10</f>
        <v/>
      </c>
      <c r="D11" s="7">
        <f>'5-Year Projection'!D26*0.10</f>
        <v/>
      </c>
      <c r="E11" s="7">
        <f>'5-Year Projection'!E26*0.10</f>
        <v/>
      </c>
      <c r="F11" s="7">
        <f>'5-Year Projection'!F26*0.10</f>
        <v/>
      </c>
    </row>
    <row r="12">
      <c r="A12" t="inlineStr">
        <is>
          <t>Deferred Revenue</t>
        </is>
      </c>
      <c r="B12" s="7">
        <f>'5-Year Projection'!B15*0.20</f>
        <v/>
      </c>
      <c r="C12" s="7">
        <f>'5-Year Projection'!C15*0.20</f>
        <v/>
      </c>
      <c r="D12" s="7">
        <f>'5-Year Projection'!D15*0.20</f>
        <v/>
      </c>
      <c r="E12" s="7">
        <f>'5-Year Projection'!E15*0.20</f>
        <v/>
      </c>
      <c r="F12" s="7">
        <f>'5-Year Projection'!F15*0.20</f>
        <v/>
      </c>
    </row>
    <row r="13">
      <c r="A13" s="6" t="inlineStr">
        <is>
          <t>Total Liabilities</t>
        </is>
      </c>
      <c r="B13" s="7">
        <f>B11+B12</f>
        <v/>
      </c>
      <c r="C13" s="7">
        <f>C11+C12</f>
        <v/>
      </c>
      <c r="D13" s="7">
        <f>D11+D12</f>
        <v/>
      </c>
      <c r="E13" s="7">
        <f>E11+E12</f>
        <v/>
      </c>
      <c r="F13" s="7">
        <f>F11+F12</f>
        <v/>
      </c>
    </row>
    <row r="15">
      <c r="A15" s="6" t="inlineStr">
        <is>
          <t>Retained Earnings</t>
        </is>
      </c>
      <c r="B15" s="7">
        <f>'5-Year Projection'!B36</f>
        <v/>
      </c>
      <c r="C15" s="7">
        <f>B15+'5-Year Projection'!C36</f>
        <v/>
      </c>
      <c r="D15" s="7">
        <f>C15+'5-Year Projection'!D36</f>
        <v/>
      </c>
      <c r="E15" s="7">
        <f>D15+'5-Year Projection'!E36</f>
        <v/>
      </c>
      <c r="F15" s="7">
        <f>E15+'5-Year Projection'!F36</f>
        <v/>
      </c>
    </row>
    <row r="16">
      <c r="A16" s="6" t="inlineStr">
        <is>
          <t>Total Equity</t>
        </is>
      </c>
      <c r="B16" s="7">
        <f>B15</f>
        <v/>
      </c>
      <c r="C16" s="7">
        <f>C15</f>
        <v/>
      </c>
      <c r="D16" s="7">
        <f>D15</f>
        <v/>
      </c>
      <c r="E16" s="7">
        <f>E15</f>
        <v/>
      </c>
      <c r="F16" s="7">
        <f>F15</f>
        <v/>
      </c>
    </row>
    <row r="18">
      <c r="A18" s="6" t="inlineStr">
        <is>
          <t>Total Liabilities + Equity</t>
        </is>
      </c>
      <c r="B18" s="7">
        <f>B13+B16</f>
        <v/>
      </c>
      <c r="C18" s="7">
        <f>C13+C16</f>
        <v/>
      </c>
      <c r="D18" s="7">
        <f>D13+D16</f>
        <v/>
      </c>
      <c r="E18" s="7">
        <f>E13+E16</f>
        <v/>
      </c>
      <c r="F18" s="7">
        <f>F13+F16</f>
        <v/>
      </c>
    </row>
    <row r="20">
      <c r="A20" s="6" t="inlineStr">
        <is>
          <t>BS Balance Check (Assets - L&amp;E = 0)</t>
        </is>
      </c>
      <c r="B20" s="7">
        <f>B9-B18</f>
        <v/>
      </c>
      <c r="C20" s="7">
        <f>C9-C18</f>
        <v/>
      </c>
      <c r="D20" s="7">
        <f>D9-D18</f>
        <v/>
      </c>
      <c r="E20" s="7">
        <f>E9-E18</f>
        <v/>
      </c>
      <c r="F20" s="7">
        <f>F9-F18</f>
        <v/>
      </c>
    </row>
    <row r="21">
      <c r="A21" s="6" t="inlineStr">
        <is>
          <t>BS Balanced?</t>
        </is>
      </c>
      <c r="B21" s="7">
        <f>ABS(B20)&lt;0.01</f>
        <v/>
      </c>
      <c r="C21" s="7">
        <f>ABS(C20)&lt;0.01</f>
        <v/>
      </c>
      <c r="D21" s="7">
        <f>ABS(D20)&lt;0.01</f>
        <v/>
      </c>
      <c r="E21" s="7">
        <f>ABS(E20)&lt;0.01</f>
        <v/>
      </c>
      <c r="F21" s="7">
        <f>ABS(F20)&lt;0.01</f>
        <v/>
      </c>
    </row>
    <row r="24">
      <c r="A24" s="3" t="inlineStr">
        <is>
          <t>CASH FLOW RECONCILIATION</t>
        </is>
      </c>
      <c r="B24" s="2" t="n"/>
      <c r="C24" s="2" t="n"/>
      <c r="D24" s="2" t="n"/>
      <c r="E24" s="2" t="n"/>
    </row>
    <row r="26">
      <c r="A26" s="6" t="inlineStr">
        <is>
          <t>Year</t>
        </is>
      </c>
      <c r="B26" s="3" t="inlineStr">
        <is>
          <t>Year 1</t>
        </is>
      </c>
      <c r="C26" s="3" t="inlineStr">
        <is>
          <t>Year 2</t>
        </is>
      </c>
      <c r="D26" s="3" t="inlineStr">
        <is>
          <t>Year 3</t>
        </is>
      </c>
      <c r="E26" s="3" t="inlineStr">
        <is>
          <t>Year 4</t>
        </is>
      </c>
      <c r="F26" s="3" t="inlineStr">
        <is>
          <t>Year 5</t>
        </is>
      </c>
    </row>
    <row r="28">
      <c r="A28" t="inlineStr">
        <is>
          <t>Net Income</t>
        </is>
      </c>
      <c r="B28" s="11">
        <f>'5-Year Projection'!B36</f>
        <v/>
      </c>
      <c r="C28" s="11">
        <f>'5-Year Projection'!C36</f>
        <v/>
      </c>
      <c r="D28" s="11">
        <f>'5-Year Projection'!D36</f>
        <v/>
      </c>
      <c r="E28" s="11">
        <f>'5-Year Projection'!E36</f>
        <v/>
      </c>
      <c r="F28" s="11">
        <f>'5-Year Projection'!F36</f>
        <v/>
      </c>
    </row>
    <row r="29">
      <c r="A29" t="inlineStr">
        <is>
          <t>Depreciation Add-Back</t>
        </is>
      </c>
      <c r="B29" s="11">
        <f>'5-Year Projection'!B31</f>
        <v/>
      </c>
      <c r="C29" s="11">
        <f>'5-Year Projection'!C31</f>
        <v/>
      </c>
      <c r="D29" s="11">
        <f>'5-Year Projection'!D31</f>
        <v/>
      </c>
      <c r="E29" s="11">
        <f>'5-Year Projection'!E31</f>
        <v/>
      </c>
      <c r="F29" s="11">
        <f>'5-Year Projection'!F31</f>
        <v/>
      </c>
    </row>
    <row r="30">
      <c r="A30" t="inlineStr">
        <is>
          <t>Change in Working Capital</t>
        </is>
      </c>
      <c r="B30" s="7">
        <f>-'5-Year Projection'!B15*0.05</f>
        <v/>
      </c>
      <c r="C30" s="7">
        <f>-'5-Year Projection'!C15*0.05</f>
        <v/>
      </c>
      <c r="D30" s="7">
        <f>-'5-Year Projection'!D15*0.05</f>
        <v/>
      </c>
      <c r="E30" s="7">
        <f>-'5-Year Projection'!E15*0.05</f>
        <v/>
      </c>
      <c r="F30" s="7">
        <f>-'5-Year Projection'!F15*0.05</f>
        <v/>
      </c>
    </row>
    <row r="31">
      <c r="A31" s="6" t="inlineStr">
        <is>
          <t>Operating Cash Flow</t>
        </is>
      </c>
      <c r="B31" s="7">
        <f>B28+B29+B30</f>
        <v/>
      </c>
      <c r="C31" s="7">
        <f>C28+C29+C30</f>
        <v/>
      </c>
      <c r="D31" s="7">
        <f>D28+D29+D30</f>
        <v/>
      </c>
      <c r="E31" s="7">
        <f>E28+E29+E30</f>
        <v/>
      </c>
      <c r="F31" s="7">
        <f>F28+F29+F30</f>
        <v/>
      </c>
    </row>
    <row r="33">
      <c r="A33" s="6" t="inlineStr">
        <is>
          <t>Cash Flow = Cash Change?</t>
        </is>
      </c>
      <c r="B33" s="7">
        <f>ABS(B31-(B7-100000))&lt;1</f>
        <v/>
      </c>
      <c r="C33" s="7">
        <f>ABS(C31-(C7-B7))&lt;1</f>
        <v/>
      </c>
      <c r="D33" s="7">
        <f>ABS(D31-(D7-C7))&lt;1</f>
        <v/>
      </c>
      <c r="E33" s="7">
        <f>ABS(E31-(E7-D7))&lt;1</f>
        <v/>
      </c>
      <c r="F33" s="7">
        <f>ABS(F31-(F7-E7))&lt;1</f>
        <v/>
      </c>
    </row>
    <row r="36">
      <c r="A36" s="3" t="inlineStr">
        <is>
          <t>REVENUE CROSS-CHECK: P&amp;L vs PRICING MODEL</t>
        </is>
      </c>
      <c r="B36" s="2" t="n"/>
      <c r="C36" s="2" t="n"/>
      <c r="D36" s="2" t="n"/>
      <c r="E36" s="2" t="n"/>
    </row>
    <row r="38">
      <c r="A38" s="6" t="inlineStr">
        <is>
          <t>Year</t>
        </is>
      </c>
      <c r="B38" s="3" t="inlineStr">
        <is>
          <t>Year 1</t>
        </is>
      </c>
      <c r="C38" s="3" t="inlineStr">
        <is>
          <t>Year 2</t>
        </is>
      </c>
      <c r="D38" s="3" t="inlineStr">
        <is>
          <t>Year 3</t>
        </is>
      </c>
      <c r="E38" s="3" t="inlineStr">
        <is>
          <t>Year 4</t>
        </is>
      </c>
      <c r="F38" s="3" t="inlineStr">
        <is>
          <t>Year 5</t>
        </is>
      </c>
    </row>
    <row r="40">
      <c r="A40" t="inlineStr">
        <is>
          <t>Revenue from P&amp;L</t>
        </is>
      </c>
      <c r="B40" s="11">
        <f>'5-Year Projection'!B15</f>
        <v/>
      </c>
      <c r="C40" s="11">
        <f>'5-Year Projection'!C15</f>
        <v/>
      </c>
      <c r="D40" s="11">
        <f>'5-Year Projection'!D15</f>
        <v/>
      </c>
      <c r="E40" s="11">
        <f>'5-Year Projection'!E15</f>
        <v/>
      </c>
      <c r="F40" s="11">
        <f>'5-Year Projection'!F15</f>
        <v/>
      </c>
    </row>
    <row r="41">
      <c r="A41" t="inlineStr">
        <is>
          <t>Revenue from Pricing Sheet</t>
        </is>
      </c>
      <c r="B41" s="11">
        <f>'Pricing Model'!B25</f>
        <v/>
      </c>
      <c r="C41" s="11">
        <f>'Pricing Model'!C25</f>
        <v/>
      </c>
      <c r="D41" s="11">
        <f>'Pricing Model'!D25</f>
        <v/>
      </c>
      <c r="E41" s="11">
        <f>'Pricing Model'!E25</f>
        <v/>
      </c>
      <c r="F41" s="11">
        <f>'Pricing Model'!F25</f>
        <v/>
      </c>
    </row>
    <row r="42">
      <c r="A42" s="6" t="inlineStr">
        <is>
          <t>Difference</t>
        </is>
      </c>
      <c r="B42" s="7">
        <f>B40-B41</f>
        <v/>
      </c>
      <c r="C42" s="7">
        <f>C40-C41</f>
        <v/>
      </c>
      <c r="D42" s="7">
        <f>D40-D41</f>
        <v/>
      </c>
      <c r="E42" s="7">
        <f>E40-E41</f>
        <v/>
      </c>
      <c r="F42" s="7">
        <f>F40-F41</f>
        <v/>
      </c>
    </row>
    <row r="43">
      <c r="A43" s="6" t="inlineStr">
        <is>
          <t>Tied?</t>
        </is>
      </c>
      <c r="B43" s="7">
        <f>ABS(B42)&lt;0.01</f>
        <v/>
      </c>
      <c r="C43" s="7">
        <f>ABS(C42)&lt;0.01</f>
        <v/>
      </c>
      <c r="D43" s="7">
        <f>ABS(D42)&lt;0.01</f>
        <v/>
      </c>
      <c r="E43" s="7">
        <f>ABS(E42)&lt;0.01</f>
        <v/>
      </c>
      <c r="F43" s="7">
        <f>ABS(F42)&lt;0.01</f>
        <v/>
      </c>
    </row>
    <row r="46">
      <c r="A46" s="3" t="inlineStr">
        <is>
          <t>ROGUE HARDCODE CHECK</t>
        </is>
      </c>
      <c r="B46" s="2" t="n"/>
      <c r="C46" s="2" t="n"/>
      <c r="D46" s="2" t="n"/>
      <c r="E46" s="2" t="n"/>
    </row>
    <row r="48">
      <c r="A48" s="6" t="inlineStr">
        <is>
          <t>All P&amp;L cells are formulas?</t>
        </is>
      </c>
      <c r="B48" s="4" t="inlineStr">
        <is>
          <t>Manual review required</t>
        </is>
      </c>
    </row>
    <row r="49">
      <c r="A49" s="6" t="inlineStr">
        <is>
          <t>Named ranges defined?</t>
        </is>
      </c>
      <c r="B49" s="11" t="inlineStr">
        <is>
          <t>See Defined Names</t>
        </is>
      </c>
    </row>
    <row r="50">
      <c r="A50" s="6" t="inlineStr">
        <is>
          <t>Inputs all blue (#0000FF)?</t>
        </is>
      </c>
      <c r="B50" s="4" t="inlineStr">
        <is>
          <t>Manual review required</t>
        </is>
      </c>
    </row>
    <row r="52">
      <c r="A52" s="3" t="inlineStr">
        <is>
          <t>KEY FIGURES (Named Range Targets)</t>
        </is>
      </c>
      <c r="B52" s="2" t="n"/>
      <c r="C52" s="2" t="n"/>
      <c r="D52" s="2" t="n"/>
      <c r="E52" s="2" t="n"/>
    </row>
    <row r="54">
      <c r="A54" s="6" t="inlineStr">
        <is>
          <t>Market CAGR</t>
        </is>
      </c>
      <c r="B54" s="11" t="inlineStr">
        <is>
          <t>Inputs!$B$8</t>
        </is>
      </c>
    </row>
    <row r="55">
      <c r="A55" s="6" t="inlineStr">
        <is>
          <t>Discount Rate</t>
        </is>
      </c>
      <c r="B55" s="11" t="inlineStr">
        <is>
          <t>Inputs!$B$42</t>
        </is>
      </c>
    </row>
    <row r="56">
      <c r="A56" s="6" t="inlineStr">
        <is>
          <t>Revenue Y5</t>
        </is>
      </c>
      <c r="B56" s="11" t="inlineStr">
        <is>
          <t>'5-Year Projection'!F$15</t>
        </is>
      </c>
    </row>
    <row r="57">
      <c r="A57" s="6" t="inlineStr">
        <is>
          <t>EBITDA Y5</t>
        </is>
      </c>
      <c r="B57" s="11" t="inlineStr">
        <is>
          <t>'5-Year Projection'!F$28</t>
        </is>
      </c>
    </row>
    <row r="58">
      <c r="A58" s="6" t="inlineStr">
        <is>
          <t>Net Income Y5</t>
        </is>
      </c>
      <c r="B58" s="11" t="inlineStr">
        <is>
          <t>'5-Year Projection'!F$36</t>
        </is>
      </c>
    </row>
    <row r="59">
      <c r="A59" s="6" t="inlineStr">
        <is>
          <t>Team ARPU</t>
        </is>
      </c>
      <c r="B59" s="11" t="inlineStr">
        <is>
          <t>Inputs!$B$31</t>
        </is>
      </c>
    </row>
    <row r="60">
      <c r="A60" s="6" t="inlineStr">
        <is>
          <t>Enterprise ACV</t>
        </is>
      </c>
      <c r="B60" s="11" t="inlineStr">
        <is>
          <t>Inputs!$B$30</t>
        </is>
      </c>
    </row>
    <row r="61">
      <c r="A61" s="6" t="inlineStr">
        <is>
          <t>Gross Margin</t>
        </is>
      </c>
      <c r="B61" s="11" t="inlineStr">
        <is>
          <t>Inputs!$B$37</t>
        </is>
      </c>
    </row>
    <row r="62">
      <c r="A62" s="6" t="inlineStr">
        <is>
          <t>Team LTV</t>
        </is>
      </c>
      <c r="B62" s="11" t="inlineStr">
        <is>
          <t>Unit Economics!B$10</t>
        </is>
      </c>
    </row>
    <row r="63">
      <c r="A63" s="6" t="inlineStr">
        <is>
          <t>Enterprise LTV</t>
        </is>
      </c>
      <c r="B63" s="11" t="inlineStr">
        <is>
          <t>Unit Economics!B$23</t>
        </is>
      </c>
    </row>
  </sheetData>
  <mergeCells count="6">
    <mergeCell ref="A24:E24"/>
    <mergeCell ref="A52:E52"/>
    <mergeCell ref="A1:E1"/>
    <mergeCell ref="A46:E46"/>
    <mergeCell ref="A36:E36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2026-07-10T04:23:44Z</dcterms:created>
  <dcterms:modified xmlns:dcterms="http://purl.org/dc/terms/" xmlns:xsi="http://www.w3.org/2001/XMLSchema-instance" xsi:type="dcterms:W3CDTF">2026-07-10T04:23:44Z</dcterms:modified>
</cp:coreProperties>
</file>